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Income" sheetId="2" state="visible" r:id="rId4"/>
    <sheet name="Expenses" sheetId="3" state="visible" r:id="rId5"/>
    <sheet name="💳 Cash &amp; Ban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<sst xmlns="http://schemas.openxmlformats.org/spreadsheetml/2006/main" count="102" uniqueCount="80">
  <si>
    <t xml:space="preserve">📊  APEX ROUTE LOGISTICS  —  MONTHLY DASHBOARD</t>
  </si>
  <si>
    <t xml:space="preserve">All figures auto-calculated from Income &amp; Expenses tabs</t>
  </si>
  <si>
    <t xml:space="preserve">💰 TOTAL INCOME</t>
  </si>
  <si>
    <t xml:space="preserve">💸 TOTAL EXPENSES</t>
  </si>
  <si>
    <t xml:space="preserve">📈 NET PROFIT</t>
  </si>
  <si>
    <t xml:space="preserve">💳 CNG BILL DUE</t>
  </si>
  <si>
    <t xml:space="preserve">💰 Income by Category</t>
  </si>
  <si>
    <t xml:space="preserve">💸 Expense by Category</t>
  </si>
  <si>
    <t xml:space="preserve">Vendor/DCO</t>
  </si>
  <si>
    <t xml:space="preserve">CNG/Petrol</t>
  </si>
  <si>
    <t xml:space="preserve">💳 CC</t>
  </si>
  <si>
    <t xml:space="preserve">Porter</t>
  </si>
  <si>
    <t xml:space="preserve">Maintenance</t>
  </si>
  <si>
    <t xml:space="preserve">Factory</t>
  </si>
  <si>
    <t xml:space="preserve">Driver Expense</t>
  </si>
  <si>
    <t xml:space="preserve">Other</t>
  </si>
  <si>
    <t xml:space="preserve">📅 Monthly Summary</t>
  </si>
  <si>
    <t xml:space="preserve">Month</t>
  </si>
  <si>
    <t xml:space="preserve">Total Income</t>
  </si>
  <si>
    <t xml:space="preserve">Total Expenses</t>
  </si>
  <si>
    <t xml:space="preserve">Net Profit</t>
  </si>
  <si>
    <t xml:space="preserve">Bank Balance</t>
  </si>
  <si>
    <t xml:space="preserve">Cash Balance</t>
  </si>
  <si>
    <t xml:space="preserve">CNG Bill</t>
  </si>
  <si>
    <t xml:space="preserve">Status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</si>
  <si>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</si>
  <si>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</si>
  <si>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</si>
  <si>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</si>
  <si>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</si>
  <si>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</si>
  <si>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</si>
  <si>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</si>
  <si>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</si>
  <si>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</si>
  <si>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</si>
  <si>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</si>
  <si>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🚚  APEX ROUTE LOGISTICS  —  INCOME TRACKER</t>
  </si>
  <si>
    <t xml:space="preserve">Bot entries auto-append above the TOTAL row  •  Payment: UPI = Bank  |  Cash = Cash</t>
  </si>
  <si>
    <t xml:space="preserve">#</t>
  </si>
  <si>
    <t xml:space="preserve">Date</t>
  </si>
  <si>
    <t xml:space="preserve">Time</t>
  </si>
  <si>
    <t xml:space="preserve">Category</t>
  </si>
  <si>
    <t xml:space="preserve">Payment</t>
  </si>
  <si>
    <t xml:space="preserve">Bank (₹)</t>
  </si>
  <si>
    <t xml:space="preserve">Cash (₹)</t>
  </si>
  <si>
    <t xml:space="preserve">Remarks</t>
  </si>
  <si>
    <t xml:space="preserve">TOTAL INCOME</t>
  </si>
  <si>
    <t xml:space="preserve">🚚  APEX ROUTE LOGISTICS  —  EXPENSE TRACKER</t>
  </si>
  <si>
    <t xml:space="preserve">Bot entries auto-append above the TOTAL row  •  CNG uses Credit Card  •  UPI = Bank  |  Cash = Cash</t>
  </si>
  <si>
    <t xml:space="preserve">Credit Card (₹)</t>
  </si>
  <si>
    <t xml:space="preserve">TOTAL EXPENSES</t>
  </si>
  <si>
    <t xml:space="preserve">💳  APEX ROUTE LOGISTICS  —  CASH &amp; BANK TRACKER</t>
  </si>
  <si>
    <t xml:space="preserve">Live balances auto-calculated from Income &amp; Expenses sheets</t>
  </si>
  <si>
    <t xml:space="preserve">🏦 BANK ACCOUNT</t>
  </si>
  <si>
    <t xml:space="preserve">💵 CASH IN HAND</t>
  </si>
  <si>
    <t xml:space="preserve">💳 CREDIT CARD BILL</t>
  </si>
  <si>
    <t xml:space="preserve">Income (UPI)</t>
  </si>
  <si>
    <t xml:space="preserve">Income (Cash)</t>
  </si>
  <si>
    <t xml:space="preserve">CNG/Petrol Total</t>
  </si>
  <si>
    <t xml:space="preserve">Expenses (UPI)</t>
  </si>
  <si>
    <t xml:space="preserve">Expenses (Cash)</t>
  </si>
  <si>
    <t xml:space="preserve">Other Credit</t>
  </si>
  <si>
    <t xml:space="preserve">Net Bank Balance</t>
  </si>
  <si>
    <t xml:space="preserve">Net Cash Balance</t>
  </si>
  <si>
    <t xml:space="preserve">Total Due</t>
  </si>
  <si>
    <t xml:space="preserve">📋 CNG CREDIT CARD MONTHLY BILL TRACKER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</si>
  <si>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</si>
  <si>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</si>
  <si>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</si>
  <si>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</si>
  <si>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</si>
  <si>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</si>
  <si>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</si>
  <si>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</si>
  <si>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</si>
  <si>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</si>
  <si>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</si>
  <si>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</si>
  <si>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⬜ Unpaid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</si>
</sst>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;[RED]&quot;(₹&quot;#,##0.00\);\-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0D1B2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sz val="10"/>
      <color rgb="FF1B998B"/>
      <name val="Calibri"/>
      <family val="0"/>
      <charset val="1"/>
    </font>
    <font>
      <sz val="10"/>
      <color rgb="FFE63946"/>
      <name val="Calibri"/>
      <family val="0"/>
      <charset val="1"/>
    </font>
    <font>
      <b val="true"/>
      <sz val="9"/>
      <color rgb="FFE63946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A1A2E"/>
      <name val="Calibri"/>
      <family val="0"/>
      <charset val="1"/>
    </font>
    <font>
      <sz val="9"/>
      <color rgb="FF1A1A2E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sz val="11"/>
      <color rgb="FF1A1A2E"/>
      <name val="Calibri"/>
      <family val="0"/>
      <charset val="1"/>
    </font>
    <font>
      <sz val="9"/>
      <color rgb="FF6C757D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F4A261"/>
        <bgColor rgb="FFFF9900"/>
      </patternFill>
    </fill>
    <fill>
      <patternFill patternType="solid">
        <fgColor rgb="FF1B998B"/>
        <bgColor rgb="FF008080"/>
      </patternFill>
    </fill>
    <fill>
      <patternFill patternType="solid">
        <fgColor rgb="FFE63946"/>
        <bgColor rgb="FF993366"/>
      </patternFill>
    </fill>
    <fill>
      <patternFill patternType="solid">
        <fgColor rgb="FF4361EE"/>
        <bgColor rgb="FF666699"/>
      </patternFill>
    </fill>
    <fill>
      <patternFill patternType="solid">
        <fgColor rgb="FFEDF2FB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2DC653"/>
        <bgColor rgb="FF1B998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C757D"/>
      <rgbColor rgb="FF9999FF"/>
      <rgbColor rgb="FFE63946"/>
      <rgbColor rgb="FFF8F9FA"/>
      <rgbColor rgb="FFEDF2FB"/>
      <rgbColor rgb="FF660066"/>
      <rgbColor rgb="FFF4A26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361EE"/>
      <rgbColor rgb="FF2DC653"/>
      <rgbColor rgb="FF99CC00"/>
      <rgbColor rgb="FFFFCC00"/>
      <rgbColor rgb="FFFF9900"/>
      <rgbColor rgb="FFFF6600"/>
      <rgbColor rgb="FF666699"/>
      <rgbColor rgb="FFAAAAAA"/>
      <rgbColor rgb="FF003366"/>
      <rgbColor rgb="FF1B998B"/>
      <rgbColor rgb="FF0D1B2A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8" min="6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/>
    <row r="4" customFormat="false" ht="25.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4" t="s">
        <v>5</v>
      </c>
      <c r="H4" s="4"/>
    </row>
    <row r="5" customFormat="false" ht="43.5" hidden="false" customHeight="true" outlineLevel="0" collapsed="false">
      <c r="A5" s="6" t="n">
        <f aca="false">SUM(Income!F4,Income!G4)</f>
        <v>0</v>
      </c>
      <c r="B5" s="6"/>
      <c r="C5" s="7" t="n">
        <f aca="false">SUM(Expenses!F4,Expenses!G4,Expenses!H4)</f>
        <v>0</v>
      </c>
      <c r="D5" s="7"/>
      <c r="E5" s="8" t="n">
        <f aca="false">B5-B6</f>
        <v>0</v>
      </c>
      <c r="F5" s="8"/>
      <c r="G5" s="7" t="n">
        <f aca="false">SUMIF(Expenses!D5:D10000,"CNG/Petrol",Expenses!H5:H10000)</f>
        <v>0</v>
      </c>
      <c r="H5" s="7"/>
    </row>
    <row r="6" customFormat="false" ht="13.5" hidden="false" customHeight="true" outlineLevel="0" collapsed="false"/>
    <row r="7" customFormat="false" ht="27.75" hidden="false" customHeight="true" outlineLevel="0" collapsed="false">
      <c r="A7" s="9" t="s">
        <v>6</v>
      </c>
      <c r="B7" s="9"/>
      <c r="C7" s="9"/>
      <c r="E7" s="10" t="s">
        <v>7</v>
      </c>
      <c r="F7" s="10"/>
      <c r="G7" s="10"/>
      <c r="H7" s="10"/>
    </row>
    <row r="8" customFormat="false" ht="24" hidden="false" customHeight="true" outlineLevel="0" collapsed="false">
      <c r="A8" s="11" t="s">
        <v>8</v>
      </c>
      <c r="B8" s="12" t="n">
        <f aca="false">SUMIF(Income!D5:D10000,"Vendor/DCO",Income!F5:F10000)+SUMIF(Income!D5:D10000,"Vendor/DCO",Income!G5:G10000)</f>
        <v>0</v>
      </c>
      <c r="C8" s="13" t="n">
        <f aca="false">IFERROR(B8/SUM(Income!F5:F10000,Income!G5:G10000),0)</f>
        <v>0</v>
      </c>
      <c r="E8" s="11" t="s">
        <v>9</v>
      </c>
      <c r="F8" s="12" t="n">
        <f aca="false">SUMIF(Expenses!D5:D10000,"CNG/Petrol",Expenses!F5:F10000)+SUMIF(Expenses!D5:D10000,"CNG/Petrol",Expenses!G5:G10000)+SUMIF(Expenses!D5:D10000,"CNG/Petrol",Expenses!H5:H10000)</f>
        <v>0</v>
      </c>
      <c r="G8" s="14" t="n">
        <f aca="false">IFERROR(F8/SUM(Expenses!F5:F10000,Expenses!G5:G10000,Expenses!H5:H10000),0)</f>
        <v>0</v>
      </c>
      <c r="H8" s="15" t="s">
        <v>10</v>
      </c>
    </row>
    <row r="9" customFormat="false" ht="24" hidden="false" customHeight="true" outlineLevel="0" collapsed="false">
      <c r="A9" s="16" t="s">
        <v>11</v>
      </c>
      <c r="B9" s="17" t="n">
        <f aca="false">SUMIF(Income!D5:D10000,"Porter",Income!F5:F10000)+SUMIF(Income!D5:D10000,"Porter",Income!G5:G10000)</f>
        <v>0</v>
      </c>
      <c r="C9" s="18" t="n">
        <f aca="false">IFERROR(B9/SUM(Income!F5:F10000,Income!G5:G10000),0)</f>
        <v>0</v>
      </c>
      <c r="E9" s="16" t="s">
        <v>12</v>
      </c>
      <c r="F9" s="17" t="n">
        <f aca="false">SUMIF(Expenses!D5:D10000,"Maintenance",Expenses!F5:F10000)+SUMIF(Expenses!D5:D10000,"Maintenance",Expenses!G5:G10000)+SUMIF(Expenses!D5:D10000,"Maintenance",Expenses!H5:H10000)</f>
        <v>0</v>
      </c>
      <c r="G9" s="19" t="n">
        <f aca="false">IFERROR(F9/SUM(Expenses!F5:F10000,Expenses!G5:G10000,Expenses!H5:H10000),0)</f>
        <v>0</v>
      </c>
      <c r="H9" s="20"/>
    </row>
    <row r="10" customFormat="false" ht="24" hidden="false" customHeight="true" outlineLevel="0" collapsed="false">
      <c r="A10" s="11" t="s">
        <v>13</v>
      </c>
      <c r="B10" s="12" t="n">
        <f aca="false">SUMIF(Income!D5:D10000,"Factory",Income!F5:F10000)+SUMIF(Income!D5:D10000,"Factory",Income!G5:G10000)</f>
        <v>0</v>
      </c>
      <c r="C10" s="13" t="n">
        <f aca="false">IFERROR(B10/SUM(Income!F5:F10000,Income!G5:G10000),0)</f>
        <v>0</v>
      </c>
      <c r="E10" s="11" t="s">
        <v>14</v>
      </c>
      <c r="F10" s="12" t="n">
        <f aca="false">SUMIF(Expenses!D5:D10000,"Driver Expense",Expenses!F5:F10000)+SUMIF(Expenses!D5:D10000,"Driver Expense",Expenses!G5:G10000)+SUMIF(Expenses!D5:D10000,"Driver Expense",Expenses!H5:H10000)</f>
        <v>0</v>
      </c>
      <c r="G10" s="14" t="n">
        <f aca="false">IFERROR(F10/SUM(Expenses!F5:F10000,Expenses!G5:G10000,Expenses!H5:H10000),0)</f>
        <v>0</v>
      </c>
      <c r="H10" s="15"/>
    </row>
    <row r="11" customFormat="false" ht="24" hidden="false" customHeight="true" outlineLevel="0" collapsed="false">
      <c r="E11" s="16" t="s">
        <v>15</v>
      </c>
      <c r="F11" s="17" t="n">
        <f aca="false">SUMIF(Expenses!D5:D10000,"Other",Expenses!F5:F10000)+SUMIF(Expenses!D5:D10000,"Other",Expenses!G5:G10000)+SUMIF(Expenses!D5:D10000,"Other",Expenses!H5:H10000)</f>
        <v>0</v>
      </c>
      <c r="G11" s="19" t="n">
        <f aca="false">IFERROR(F11/SUM(Expenses!F5:F10000,Expenses!G5:G10000,Expenses!H5:H10000),0)</f>
        <v>0</v>
      </c>
      <c r="H11" s="20"/>
    </row>
    <row r="12" customFormat="false" ht="13.5" hidden="false" customHeight="true" outlineLevel="0" collapsed="false"/>
    <row r="13" customFormat="false" ht="30" hidden="false" customHeight="true" outlineLevel="0" collapsed="false">
      <c r="A13" s="21" t="s">
        <v>16</v>
      </c>
      <c r="B13" s="21"/>
      <c r="C13" s="21"/>
      <c r="D13" s="21"/>
      <c r="E13" s="21"/>
      <c r="F13" s="21"/>
      <c r="G13" s="21"/>
      <c r="H13" s="21"/>
    </row>
    <row r="14" customFormat="false" ht="24" hidden="false" customHeight="true" outlineLevel="0" collapsed="false">
      <c r="A14" s="22" t="s">
        <v>17</v>
      </c>
      <c r="B14" s="23" t="s">
        <v>18</v>
      </c>
      <c r="C14" s="24" t="s">
        <v>19</v>
      </c>
      <c r="D14" s="25" t="s">
        <v>20</v>
      </c>
      <c r="E14" s="25" t="s">
        <v>21</v>
      </c>
      <c r="F14" s="26" t="s">
        <v>22</v>
      </c>
      <c r="G14" s="24" t="s">
        <v>23</v>
      </c>
      <c r="H14" s="22" t="s">
        <v>24</v>
      </c>
    </row>
    <row r="15" customFormat="false" ht="21.75" hidden="false" customHeight="true" outlineLevel="0" collapsed="false">
      <c r="A15" s="27" t="s">
        <v>25</v>
      </c>
      <c r="B15" s="28" t="n">
        <v>0</v>
      </c>
      <c r="C15" s="28" t="n">
        <v>0</v>
      </c>
      <c r="D15" s="28" t="n">
        <f aca="false">C15-B15</f>
        <v>0</v>
      </c>
      <c r="E15" s="28" t="n">
        <v>0</v>
      </c>
      <c r="F15" s="28" t="n">
        <v>0</v>
      </c>
      <c r="G15" s="28" t="n">
        <v>0</v>
      </c>
      <c r="H15" s="29" t="str">
        <f aca="false">IF(D15&gt;0,"✅ Profit",IF(D15&lt;0,"❌ Loss","➖ Break Even"))</f>
        <v>➖ Break Even</v>
      </c>
    </row>
    <row r="16" customFormat="false" ht="21.75" hidden="false" customHeight="true" outlineLevel="0" collapsed="false">
      <c r="A16" s="30" t="s">
        <v>26</v>
      </c>
      <c r="B16" s="31" t="n">
        <v>0</v>
      </c>
      <c r="C16" s="31" t="n">
        <v>0</v>
      </c>
      <c r="D16" s="31" t="n">
        <f aca="false">C16-B16</f>
        <v>0</v>
      </c>
      <c r="E16" s="31" t="n">
        <v>0</v>
      </c>
      <c r="F16" s="31" t="n">
        <v>0</v>
      </c>
      <c r="G16" s="31" t="n">
        <v>0</v>
      </c>
      <c r="H16" s="32" t="str">
        <f aca="false">IF(D16&gt;0,"✅ Profit",IF(D16&lt;0,"❌ Loss","➖ Break Even"))</f>
        <v>➖ Break Even</v>
      </c>
    </row>
    <row r="17" customFormat="false" ht="21.75" hidden="false" customHeight="true" outlineLevel="0" collapsed="false">
      <c r="A17" s="27" t="s">
        <v>27</v>
      </c>
      <c r="B17" s="28" t="n">
        <f aca="false">SUM(Income!F4,Income!G4)</f>
        <v>0</v>
      </c>
      <c r="C17" s="28" t="n">
        <f aca="false">SUM(Expenses!F4,Expenses!G4,Expenses!H4)</f>
        <v>0</v>
      </c>
      <c r="D17" s="28" t="n">
        <f aca="false">C17-B17</f>
        <v>0</v>
      </c>
      <c r="E17" s="28" t="n">
        <f aca="false">'💳 Cash &amp; Bank'!B10</f>
        <v>0</v>
      </c>
      <c r="F17" s="28" t="n">
        <f aca="false">'💳 Cash &amp; Bank'!D10</f>
        <v>0</v>
      </c>
      <c r="G17" s="28" t="n">
        <f aca="false">'💳 Cash &amp; Bank'!F10</f>
        <v>0</v>
      </c>
      <c r="H17" s="29" t="str">
        <f aca="false">IF(D17&gt;0,"✅ Profit",IF(D17&lt;0,"❌ Loss","➖ Break Even"))</f>
        <v>➖ Break Even</v>
      </c>
    </row>
    <row r="18" customFormat="false" ht="21.75" hidden="false" customHeight="true" outlineLevel="0" collapsed="false">
      <c r="A18" s="30" t="s">
        <v>28</v>
      </c>
      <c r="B18" s="31" t="n">
        <v>0</v>
      </c>
      <c r="C18" s="31" t="n">
        <v>0</v>
      </c>
      <c r="D18" s="31" t="n">
        <f aca="false">C18-B18</f>
        <v>0</v>
      </c>
      <c r="E18" s="31" t="n">
        <v>0</v>
      </c>
      <c r="F18" s="31" t="n">
        <v>0</v>
      </c>
      <c r="G18" s="31" t="n">
        <v>0</v>
      </c>
      <c r="H18" s="32" t="str">
        <f aca="false">IF(D18&gt;0,"✅ Profit",IF(D18&lt;0,"❌ Loss","➖ Break Even"))</f>
        <v>➖ Break Even</v>
      </c>
    </row>
    <row r="19" customFormat="false" ht="21.75" hidden="false" customHeight="true" outlineLevel="0" collapsed="false">
      <c r="A19" s="27" t="s">
        <v>29</v>
      </c>
      <c r="B19" s="28" t="n">
        <v>0</v>
      </c>
      <c r="C19" s="28" t="n">
        <v>0</v>
      </c>
      <c r="D19" s="28" t="n">
        <f aca="false">C19-B19</f>
        <v>0</v>
      </c>
      <c r="E19" s="28" t="n">
        <v>0</v>
      </c>
      <c r="F19" s="28" t="n">
        <v>0</v>
      </c>
      <c r="G19" s="28" t="n">
        <v>0</v>
      </c>
      <c r="H19" s="29" t="str">
        <f aca="false">IF(D19&gt;0,"✅ Profit",IF(D19&lt;0,"❌ Loss","➖ Break Even"))</f>
        <v>➖ Break Even</v>
      </c>
    </row>
    <row r="20" customFormat="false" ht="21.75" hidden="false" customHeight="true" outlineLevel="0" collapsed="false">
      <c r="A20" s="30" t="s">
        <v>30</v>
      </c>
      <c r="B20" s="31" t="n">
        <v>0</v>
      </c>
      <c r="C20" s="31" t="n">
        <v>0</v>
      </c>
      <c r="D20" s="31" t="n">
        <f aca="false">C20-B20</f>
        <v>0</v>
      </c>
      <c r="E20" s="31" t="n">
        <v>0</v>
      </c>
      <c r="F20" s="31" t="n">
        <v>0</v>
      </c>
      <c r="G20" s="31" t="n">
        <v>0</v>
      </c>
      <c r="H20" s="32" t="str">
        <f aca="false">IF(D20&gt;0,"✅ Profit",IF(D20&lt;0,"❌ Loss","➖ Break Even"))</f>
        <v>➖ Break Even</v>
      </c>
    </row>
    <row r="21" customFormat="false" ht="21.75" hidden="false" customHeight="true" outlineLevel="0" collapsed="false">
      <c r="A21" s="27" t="s">
        <v>31</v>
      </c>
      <c r="B21" s="28" t="n">
        <v>0</v>
      </c>
      <c r="C21" s="28" t="n">
        <v>0</v>
      </c>
      <c r="D21" s="28" t="n">
        <f aca="false">C21-B21</f>
        <v>0</v>
      </c>
      <c r="E21" s="28" t="n">
        <v>0</v>
      </c>
      <c r="F21" s="28" t="n">
        <v>0</v>
      </c>
      <c r="G21" s="28" t="n">
        <v>0</v>
      </c>
      <c r="H21" s="29" t="str">
        <f aca="false">IF(D21&gt;0,"✅ Profit",IF(D21&lt;0,"❌ Loss","➖ Break Even"))</f>
        <v>➖ Break Even</v>
      </c>
    </row>
    <row r="22" customFormat="false" ht="21.75" hidden="false" customHeight="true" outlineLevel="0" collapsed="false">
      <c r="A22" s="30" t="s">
        <v>32</v>
      </c>
      <c r="B22" s="31" t="n">
        <v>0</v>
      </c>
      <c r="C22" s="31" t="n">
        <v>0</v>
      </c>
      <c r="D22" s="31" t="n">
        <f aca="false">C22-B22</f>
        <v>0</v>
      </c>
      <c r="E22" s="31" t="n">
        <v>0</v>
      </c>
      <c r="F22" s="31" t="n">
        <v>0</v>
      </c>
      <c r="G22" s="31" t="n">
        <v>0</v>
      </c>
      <c r="H22" s="32" t="str">
        <f aca="false">IF(D22&gt;0,"✅ Profit",IF(D22&lt;0,"❌ Loss","➖ Break Even"))</f>
        <v>➖ Break Even</v>
      </c>
    </row>
    <row r="23" customFormat="false" ht="21.75" hidden="false" customHeight="true" outlineLevel="0" collapsed="false">
      <c r="A23" s="27" t="s">
        <v>33</v>
      </c>
      <c r="B23" s="28" t="n">
        <v>0</v>
      </c>
      <c r="C23" s="28" t="n">
        <v>0</v>
      </c>
      <c r="D23" s="28" t="n">
        <f aca="false">C23-B23</f>
        <v>0</v>
      </c>
      <c r="E23" s="28" t="n">
        <v>0</v>
      </c>
      <c r="F23" s="28" t="n">
        <v>0</v>
      </c>
      <c r="G23" s="28" t="n">
        <v>0</v>
      </c>
      <c r="H23" s="29" t="str">
        <f aca="false">IF(D23&gt;0,"✅ Profit",IF(D23&lt;0,"❌ Loss","➖ Break Even"))</f>
        <v>➖ Break Even</v>
      </c>
    </row>
    <row r="24" customFormat="false" ht="21.75" hidden="false" customHeight="true" outlineLevel="0" collapsed="false">
      <c r="A24" s="30" t="s">
        <v>34</v>
      </c>
      <c r="B24" s="31" t="n">
        <v>0</v>
      </c>
      <c r="C24" s="31" t="n">
        <v>0</v>
      </c>
      <c r="D24" s="31" t="n">
        <f aca="false">C24-B24</f>
        <v>0</v>
      </c>
      <c r="E24" s="31" t="n">
        <v>0</v>
      </c>
      <c r="F24" s="31" t="n">
        <v>0</v>
      </c>
      <c r="G24" s="31" t="n">
        <v>0</v>
      </c>
      <c r="H24" s="32" t="str">
        <f aca="false">IF(D24&gt;0,"✅ Profit",IF(D24&lt;0,"❌ Loss","➖ Break Even"))</f>
        <v>➖ Break Even</v>
      </c>
    </row>
    <row r="25" customFormat="false" ht="21.75" hidden="false" customHeight="true" outlineLevel="0" collapsed="false">
      <c r="A25" s="27" t="s">
        <v>35</v>
      </c>
      <c r="B25" s="28" t="n">
        <v>0</v>
      </c>
      <c r="C25" s="28" t="n">
        <v>0</v>
      </c>
      <c r="D25" s="28" t="n">
        <f aca="false">C25-B25</f>
        <v>0</v>
      </c>
      <c r="E25" s="28" t="n">
        <v>0</v>
      </c>
      <c r="F25" s="28" t="n">
        <v>0</v>
      </c>
      <c r="G25" s="28" t="n">
        <v>0</v>
      </c>
      <c r="H25" s="29" t="str">
        <f aca="false">IF(D25&gt;0,"✅ Profit",IF(D25&lt;0,"❌ Loss","➖ Break Even"))</f>
        <v>➖ Break Even</v>
      </c>
    </row>
    <row r="26" customFormat="false" ht="21.75" hidden="false" customHeight="true" outlineLevel="0" collapsed="false">
      <c r="A26" s="30" t="s">
        <v>36</v>
      </c>
      <c r="B26" s="31" t="n">
        <v>0</v>
      </c>
      <c r="C26" s="31" t="n">
        <v>0</v>
      </c>
      <c r="D26" s="31" t="n">
        <f aca="false">C26-B26</f>
        <v>0</v>
      </c>
      <c r="E26" s="31" t="n">
        <v>0</v>
      </c>
      <c r="F26" s="31" t="n">
        <v>0</v>
      </c>
      <c r="G26" s="31" t="n">
        <v>0</v>
      </c>
      <c r="H26" s="32" t="str">
        <f aca="false">IF(D26&gt;0,"✅ Profit",IF(D26&lt;0,"❌ Loss","➖ Break Even"))</f>
        <v>➖ Break Even</v>
      </c>
    </row>
  </sheetData>
  <mergeCells count="1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C7"/>
    <mergeCell ref="E7:H7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998B"/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7" min="6" style="0" width="15"/>
    <col collapsed="false" customWidth="true" hidden="false" outlineLevel="0" max="8" min="8" style="0" width="16"/>
  </cols>
  <sheetData>
    <row r="1" customFormat="false" ht="37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33" t="s">
        <v>38</v>
      </c>
      <c r="B2" s="33"/>
      <c r="C2" s="33"/>
      <c r="D2" s="33"/>
      <c r="E2" s="33"/>
      <c r="F2" s="33"/>
      <c r="G2" s="33"/>
      <c r="H2" s="33"/>
    </row>
    <row r="3" customFormat="false" ht="25.5" hidden="false" customHeight="true" outlineLevel="0" collapsed="false">
      <c r="A3" s="34" t="s">
        <v>39</v>
      </c>
      <c r="B3" s="35" t="s">
        <v>40</v>
      </c>
      <c r="C3" s="35" t="s">
        <v>41</v>
      </c>
      <c r="D3" s="35" t="s">
        <v>42</v>
      </c>
      <c r="E3" s="35" t="s">
        <v>43</v>
      </c>
      <c r="F3" s="36" t="s">
        <v>44</v>
      </c>
      <c r="G3" s="37" t="s">
        <v>45</v>
      </c>
      <c r="H3" s="35" t="s">
        <v>46</v>
      </c>
    </row>
    <row r="4" customFormat="false" ht="27.75" hidden="false" customHeight="true" outlineLevel="0" collapsed="false">
      <c r="A4" s="38" t="s">
        <v>47</v>
      </c>
      <c r="B4" s="38"/>
      <c r="C4" s="38"/>
      <c r="D4" s="38"/>
      <c r="E4" s="38"/>
      <c r="F4" s="39" t="n">
        <f aca="false">SUMIF(E5:E10000,"UPI",F5:F10000)</f>
        <v>0</v>
      </c>
      <c r="G4" s="39" t="n">
        <f aca="false">SUMIF(E5:E10000,"Cash",G5:G10000)</f>
        <v>0</v>
      </c>
      <c r="H4" s="40"/>
    </row>
  </sheetData>
  <mergeCells count="3">
    <mergeCell ref="A1:H1"/>
    <mergeCell ref="A2:H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3946"/>
    <pageSetUpPr fitToPage="false"/>
  </sheetPr>
  <dimension ref="A1:I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37.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41" t="s">
        <v>49</v>
      </c>
      <c r="B2" s="41"/>
      <c r="C2" s="41"/>
      <c r="D2" s="41"/>
      <c r="E2" s="41"/>
      <c r="F2" s="41"/>
      <c r="G2" s="41"/>
      <c r="H2" s="41"/>
      <c r="I2" s="41"/>
    </row>
    <row r="3" customFormat="false" ht="25.5" hidden="false" customHeight="true" outlineLevel="0" collapsed="false">
      <c r="A3" s="34" t="s">
        <v>39</v>
      </c>
      <c r="B3" s="42" t="s">
        <v>40</v>
      </c>
      <c r="C3" s="42" t="s">
        <v>41</v>
      </c>
      <c r="D3" s="42" t="s">
        <v>42</v>
      </c>
      <c r="E3" s="42" t="s">
        <v>43</v>
      </c>
      <c r="F3" s="36" t="s">
        <v>44</v>
      </c>
      <c r="G3" s="37" t="s">
        <v>45</v>
      </c>
      <c r="H3" s="42" t="s">
        <v>50</v>
      </c>
      <c r="I3" s="42" t="s">
        <v>46</v>
      </c>
    </row>
    <row r="4" customFormat="false" ht="27.75" hidden="false" customHeight="true" outlineLevel="0" collapsed="false">
      <c r="A4" s="43" t="s">
        <v>51</v>
      </c>
      <c r="B4" s="43"/>
      <c r="C4" s="43"/>
      <c r="D4" s="43"/>
      <c r="E4" s="43"/>
      <c r="F4" s="44" t="n">
        <f aca="false">SUMIF(E5:E10000,"UPI",F5:F10000)</f>
        <v>0</v>
      </c>
      <c r="G4" s="44" t="n">
        <f aca="false">SUMIF(E5:E10000,"Cash",G5:G10000)</f>
        <v>0</v>
      </c>
      <c r="H4" s="44" t="n">
        <f aca="false">SUMIF(E5:E10000,"Credit Card",H5:H10000)</f>
        <v>0</v>
      </c>
      <c r="I4" s="45"/>
    </row>
  </sheetData>
  <mergeCells count="3">
    <mergeCell ref="A1:I1"/>
    <mergeCell ref="A2:I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61EE"/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37.5" hidden="false" customHeight="true" outlineLevel="0" collapsed="false">
      <c r="A1" s="1" t="s">
        <v>52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46" t="s">
        <v>53</v>
      </c>
      <c r="B2" s="46"/>
      <c r="C2" s="46"/>
      <c r="D2" s="46"/>
      <c r="E2" s="46"/>
      <c r="F2" s="46"/>
    </row>
    <row r="3" customFormat="false" ht="13.5" hidden="false" customHeight="true" outlineLevel="0" collapsed="false"/>
    <row r="4" customFormat="false" ht="25.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</row>
    <row r="5" customFormat="false" ht="43.5" hidden="false" customHeight="true" outlineLevel="0" collapsed="false">
      <c r="A5" s="6" t="n">
        <f aca="false">SUM(Income!F4,Income!G4)</f>
        <v>0</v>
      </c>
      <c r="B5" s="6"/>
      <c r="C5" s="7" t="n">
        <f aca="false">SUM(Expenses!F4,Expenses!G4,Expenses!H4)</f>
        <v>0</v>
      </c>
      <c r="D5" s="7"/>
      <c r="E5" s="8" t="n">
        <f aca="false">B5-B6</f>
        <v>0</v>
      </c>
      <c r="F5" s="8"/>
    </row>
    <row r="6" customFormat="false" ht="13.5" hidden="false" customHeight="true" outlineLevel="0" collapsed="false"/>
    <row r="7" customFormat="false" ht="30" hidden="false" customHeight="true" outlineLevel="0" collapsed="false">
      <c r="A7" s="47" t="s">
        <v>54</v>
      </c>
      <c r="B7" s="47"/>
      <c r="C7" s="48" t="s">
        <v>55</v>
      </c>
      <c r="D7" s="48"/>
      <c r="E7" s="49" t="s">
        <v>56</v>
      </c>
      <c r="F7" s="49"/>
    </row>
    <row r="8" customFormat="false" ht="25.5" hidden="false" customHeight="true" outlineLevel="0" collapsed="false">
      <c r="A8" s="11" t="s">
        <v>57</v>
      </c>
      <c r="B8" s="50" t="n">
        <f aca="false">SUMIF(Income!E5:E10000,"UPI",Income!F5:F10000)</f>
        <v>0</v>
      </c>
      <c r="C8" s="11" t="s">
        <v>58</v>
      </c>
      <c r="D8" s="50" t="n">
        <f aca="false">SUMIF(Income!E5:E10000,"Cash",Income!G5:G10000)</f>
        <v>0</v>
      </c>
      <c r="E8" s="11" t="s">
        <v>59</v>
      </c>
      <c r="F8" s="50" t="n">
        <f aca="false">SUMIF(Expenses!D5:D10000,"CNG/Petrol",Expenses!H5:H10000)</f>
        <v>0</v>
      </c>
    </row>
    <row r="9" customFormat="false" ht="25.5" hidden="false" customHeight="true" outlineLevel="0" collapsed="false">
      <c r="A9" s="11" t="s">
        <v>60</v>
      </c>
      <c r="B9" s="50" t="n">
        <f aca="false">SUMIF(Expenses!E5:E10000,"UPI",Expenses!F5:F10000)</f>
        <v>0</v>
      </c>
      <c r="C9" s="11" t="s">
        <v>61</v>
      </c>
      <c r="D9" s="50" t="n">
        <f aca="false">SUMIF(Expenses!E5:E10000,"Cash",Expenses!G5:G10000)</f>
        <v>0</v>
      </c>
      <c r="E9" s="11" t="s">
        <v>62</v>
      </c>
      <c r="F9" s="50" t="n">
        <f aca="false">SUMIF(Expenses!E5:E10000,"Credit Card",Expenses!H5:H10000)-F8</f>
        <v>0</v>
      </c>
    </row>
    <row r="10" customFormat="false" ht="25.5" hidden="false" customHeight="true" outlineLevel="0" collapsed="false">
      <c r="A10" s="11" t="s">
        <v>63</v>
      </c>
      <c r="B10" s="51" t="n">
        <f aca="false">B8-B9</f>
        <v>0</v>
      </c>
      <c r="C10" s="11" t="s">
        <v>64</v>
      </c>
      <c r="D10" s="52" t="n">
        <f aca="false">D8-D9</f>
        <v>0</v>
      </c>
      <c r="E10" s="11" t="s">
        <v>65</v>
      </c>
      <c r="F10" s="53" t="n">
        <f aca="false">F8+F9</f>
        <v>0</v>
      </c>
    </row>
    <row r="11" customFormat="false" ht="13.5" hidden="false" customHeight="true" outlineLevel="0" collapsed="false"/>
    <row r="12" customFormat="false" ht="27.75" hidden="false" customHeight="true" outlineLevel="0" collapsed="false">
      <c r="A12" s="54" t="s">
        <v>66</v>
      </c>
      <c r="B12" s="54"/>
      <c r="C12" s="54"/>
      <c r="D12" s="54"/>
      <c r="E12" s="54"/>
      <c r="F12" s="54"/>
    </row>
    <row r="13" customFormat="false" ht="25.5" hidden="false" customHeight="true" outlineLevel="0" collapsed="false">
      <c r="A13" s="22" t="s">
        <v>67</v>
      </c>
      <c r="B13" s="22" t="s">
        <v>68</v>
      </c>
      <c r="C13" s="22" t="s">
        <v>69</v>
      </c>
      <c r="D13" s="22" t="s">
        <v>70</v>
      </c>
      <c r="E13" s="22" t="s">
        <v>71</v>
      </c>
      <c r="F13" s="22" t="s">
        <v>72</v>
      </c>
    </row>
    <row r="14" customFormat="false" ht="25.5" hidden="false" customHeight="true" outlineLevel="0" collapsed="false">
      <c r="A14" s="22" t="s">
        <v>73</v>
      </c>
      <c r="B14" s="22" t="s">
        <v>74</v>
      </c>
      <c r="C14" s="22" t="s">
        <v>75</v>
      </c>
      <c r="D14" s="22" t="s">
        <v>76</v>
      </c>
      <c r="E14" s="22" t="s">
        <v>77</v>
      </c>
      <c r="F14" s="22" t="s">
        <v>78</v>
      </c>
    </row>
    <row r="15" customFormat="false" ht="21.75" hidden="false" customHeight="true" outlineLevel="0" collapsed="false">
      <c r="A15" s="55" t="s">
        <v>79</v>
      </c>
      <c r="B15" s="55" t="s">
        <v>79</v>
      </c>
      <c r="C15" s="55" t="s">
        <v>79</v>
      </c>
      <c r="D15" s="55" t="s">
        <v>79</v>
      </c>
      <c r="E15" s="55" t="s">
        <v>79</v>
      </c>
      <c r="F15" s="55" t="s">
        <v>79</v>
      </c>
    </row>
    <row r="16" customFormat="false" ht="21.75" hidden="false" customHeight="true" outlineLevel="0" collapsed="false">
      <c r="A16" s="55" t="s">
        <v>79</v>
      </c>
      <c r="B16" s="55" t="s">
        <v>79</v>
      </c>
      <c r="C16" s="55" t="s">
        <v>79</v>
      </c>
      <c r="D16" s="55" t="s">
        <v>79</v>
      </c>
      <c r="E16" s="55" t="s">
        <v>79</v>
      </c>
      <c r="F16" s="55" t="s">
        <v>79</v>
      </c>
    </row>
  </sheetData>
  <mergeCells count="12">
    <mergeCell ref="A1:F1"/>
    <mergeCell ref="A2:F2"/>
    <mergeCell ref="A4:B4"/>
    <mergeCell ref="C4:D4"/>
    <mergeCell ref="E4:F4"/>
    <mergeCell ref="A5:B5"/>
    <mergeCell ref="C5:D5"/>
    <mergeCell ref="E5:F5"/>
    <mergeCell ref="A7:B7"/>
    <mergeCell ref="C7:D7"/>
    <mergeCell ref="E7:F7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2026-04-03T17:23:17Z</dcterms:created>
  <dc:creator>openpyxl</dc:creator>
  <dc:description/>
  <dc:language>en-US</dc:language>
  <cp:lastModifiedBy/>
  <dcterms:modified xsi:type="dcterms:W3CDTF">2026-04-03T17:23:17Z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